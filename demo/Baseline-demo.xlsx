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FY25 Cash" sheetId="2" state="visible" r:id="rId2"/>
    <sheet xmlns:r="http://schemas.openxmlformats.org/officeDocument/2006/relationships" name="FY25 AR" sheetId="3" state="visible" r:id="rId3"/>
    <sheet xmlns:r="http://schemas.openxmlformats.org/officeDocument/2006/relationships" name="FY25 Fixed Assets" sheetId="4" state="visible" r:id="rId4"/>
    <sheet xmlns:r="http://schemas.openxmlformats.org/officeDocument/2006/relationships" name="PY Not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(#,##0)"/>
    <numFmt numFmtId="165" formatCode="0.0%"/>
  </numFmts>
  <fonts count="4">
    <font>
      <name val="Calibri"/>
      <family val="2"/>
      <color theme="1"/>
      <sz val="11"/>
      <scheme val="minor"/>
    </font>
    <font>
      <b val="1"/>
      <sz val="14"/>
    </font>
    <font>
      <i val="1"/>
      <color rgb="00666666"/>
    </font>
    <font>
      <b val="1"/>
    </font>
  </fonts>
  <fills count="3">
    <fill>
      <patternFill/>
    </fill>
    <fill>
      <patternFill patternType="gray125"/>
    </fill>
    <fill>
      <patternFill patternType="solid">
        <fgColor rgb="00E8F1EE"/>
      </patternFill>
    </fill>
  </fills>
  <borders count="2">
    <border>
      <left/>
      <right/>
      <top/>
      <bottom/>
      <diagonal/>
    </border>
    <border>
      <top style="thin"/>
      <bottom style="double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0" fontId="3" fillId="0" borderId="0" pivotButton="0" quotePrefix="0" xfId="0"/>
    <xf numFmtId="164" fontId="3" fillId="0" borderId="1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" t="inlineStr">
        <is>
          <t>Baseline Review: demo workbook</t>
        </is>
      </c>
    </row>
    <row r="2">
      <c r="A2" t="inlineStr"/>
    </row>
    <row r="3">
      <c r="A3" t="inlineStr">
        <is>
          <t>1. Open the add-in: Home → Review.</t>
        </is>
      </c>
    </row>
    <row r="4">
      <c r="A4" t="inlineStr">
        <is>
          <t>2. Click the "FY25 Cash" tab. The checklist shows 5 problems.</t>
        </is>
      </c>
    </row>
    <row r="5">
      <c r="A5" t="inlineStr">
        <is>
          <t>3. Expand a red item and click a cell link, e.g. B10, to jump to it.</t>
        </is>
      </c>
    </row>
    <row r="6">
      <c r="A6" t="inlineStr">
        <is>
          <t>4. Open "Last year's notes" in the add-in → Import from "PY Notes" sheet.</t>
        </is>
      </c>
    </row>
    <row r="7">
      <c r="A7" t="inlineStr">
        <is>
          <t xml:space="preserve">   Back on Review, the yellow box shows which of last year's notes are happening again.</t>
        </is>
      </c>
    </row>
    <row r="8">
      <c r="A8" t="inlineStr">
        <is>
          <t>5. Fix something live: change FY25 Cash B10 to =SUM(B6:B9) and watch it turn green.</t>
        </is>
      </c>
    </row>
    <row r="9">
      <c r="A9" t="inlineStr">
        <is>
          <t xml:space="preserve">   Also try B13 → =B12*B14 (links the FX rate) and add 'Reviewed by:' in A4.</t>
        </is>
      </c>
    </row>
    <row r="10">
      <c r="A10" t="inlineStr">
        <is>
          <t>6. Try "FY25 AR": a typed-over formula, an inconsistent formula and a #DIV/0!.</t>
        </is>
      </c>
    </row>
    <row r="11">
      <c r="A11" t="inlineStr">
        <is>
          <t>7. "FY25 Fixed Assets" is a clean sheet that passes every check.</t>
        </is>
      </c>
    </row>
    <row r="12">
      <c r="A12" t="inlineStr"/>
    </row>
    <row r="13">
      <c r="A13" s="2" t="inlineStr">
        <is>
          <t>All figures are made up. Nothing in this file leaves Excel.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34" customWidth="1" min="3" max="3"/>
  </cols>
  <sheetData>
    <row r="1">
      <c r="A1" s="1" t="inlineStr">
        <is>
          <t>Cash: bank reconciliation, 31 Dec 2025</t>
        </is>
      </c>
    </row>
    <row r="2">
      <c r="A2" t="inlineStr">
        <is>
          <t>Purpose: reconcile the operating account balance to the bank statement</t>
        </is>
      </c>
    </row>
    <row r="3">
      <c r="A3" t="inlineStr">
        <is>
          <t>Prepared by: JS 06/10/2025</t>
        </is>
      </c>
    </row>
    <row r="5">
      <c r="A5" s="3" t="inlineStr">
        <is>
          <t>Item</t>
        </is>
      </c>
      <c r="B5" s="3" t="inlineStr">
        <is>
          <t>Amount</t>
        </is>
      </c>
      <c r="C5" s="3" t="inlineStr">
        <is>
          <t>Tick</t>
        </is>
      </c>
    </row>
    <row r="6">
      <c r="A6" t="inlineStr">
        <is>
          <t>Balance per bank statement</t>
        </is>
      </c>
      <c r="B6" s="4" t="n">
        <v>482150</v>
      </c>
      <c r="C6" t="inlineStr">
        <is>
          <t>✓</t>
        </is>
      </c>
    </row>
    <row r="7">
      <c r="A7" t="inlineStr">
        <is>
          <t>Deposits in transit</t>
        </is>
      </c>
      <c r="B7" s="4" t="n">
        <v>36400</v>
      </c>
      <c r="C7" t="inlineStr">
        <is>
          <t>✓</t>
        </is>
      </c>
    </row>
    <row r="8">
      <c r="A8" t="inlineStr">
        <is>
          <t>Outstanding cheques</t>
        </is>
      </c>
      <c r="B8" s="4" t="n">
        <v>-51275</v>
      </c>
      <c r="C8" t="inlineStr">
        <is>
          <t>✓</t>
        </is>
      </c>
    </row>
    <row r="9">
      <c r="A9" t="inlineStr">
        <is>
          <t>Bank error correction</t>
        </is>
      </c>
      <c r="B9" s="4" t="n">
        <v>1200</v>
      </c>
    </row>
    <row r="10">
      <c r="A10" s="5" t="inlineStr">
        <is>
          <t>Adjusted bank balance</t>
        </is>
      </c>
      <c r="B10" s="6">
        <f>SUM(B6:B8)</f>
        <v/>
      </c>
    </row>
    <row r="12">
      <c r="A12" t="inlineStr">
        <is>
          <t>USD sub-account (USD)</t>
        </is>
      </c>
      <c r="B12" s="4" t="n">
        <v>25000</v>
      </c>
    </row>
    <row r="13">
      <c r="A13" t="inlineStr">
        <is>
          <t>USD sub-account (CAD)</t>
        </is>
      </c>
      <c r="B13" s="4">
        <f>B12*1.37</f>
        <v/>
      </c>
    </row>
    <row r="14">
      <c r="A14" t="inlineStr">
        <is>
          <t>FX rate USD→CAD</t>
        </is>
      </c>
      <c r="B14" t="n">
        <v>1.37</v>
      </c>
      <c r="C14" t="inlineStr">
        <is>
          <t>per Bank of Canada 31 Dec close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4" customWidth="1" min="5" max="5"/>
    <col width="12" customWidth="1" min="6" max="6"/>
  </cols>
  <sheetData>
    <row r="1">
      <c r="A1" s="1" t="inlineStr">
        <is>
          <t>Accounts receivable: aging, 31 Dec 2025</t>
        </is>
      </c>
    </row>
    <row r="2">
      <c r="A2" t="inlineStr">
        <is>
          <t>Purpose: test the AR aging and allowance</t>
        </is>
      </c>
    </row>
    <row r="3">
      <c r="A3" t="inlineStr">
        <is>
          <t>Source: AR aging report from the client's system, 3 Jan 2026</t>
        </is>
      </c>
    </row>
    <row r="4">
      <c r="A4" t="inlineStr">
        <is>
          <t>Prepared by: JS 06/10/2025</t>
        </is>
      </c>
      <c r="C4" t="inlineStr">
        <is>
          <t>Reviewed by:</t>
        </is>
      </c>
    </row>
    <row r="6">
      <c r="A6" s="3" t="inlineStr">
        <is>
          <t>Customer</t>
        </is>
      </c>
      <c r="B6" s="3" t="inlineStr">
        <is>
          <t>0-30</t>
        </is>
      </c>
      <c r="C6" s="3" t="inlineStr">
        <is>
          <t>31-60</t>
        </is>
      </c>
      <c r="D6" s="3" t="inlineStr">
        <is>
          <t>61-90</t>
        </is>
      </c>
      <c r="E6" s="3" t="inlineStr">
        <is>
          <t>Total</t>
        </is>
      </c>
      <c r="F6" s="3" t="inlineStr">
        <is>
          <t>% of total</t>
        </is>
      </c>
    </row>
    <row r="7">
      <c r="A7" t="inlineStr">
        <is>
          <t>Northwind Traders</t>
        </is>
      </c>
      <c r="B7" s="4" t="n">
        <v>18200</v>
      </c>
      <c r="C7" s="4" t="n">
        <v>4100</v>
      </c>
      <c r="D7" s="4" t="n">
        <v>900</v>
      </c>
      <c r="E7" s="4">
        <f>SUM(B7:D7)</f>
        <v/>
      </c>
      <c r="F7" s="7">
        <f>E7/$E$12</f>
        <v/>
      </c>
    </row>
    <row r="8">
      <c r="A8" t="inlineStr">
        <is>
          <t>Contoso Ltd</t>
        </is>
      </c>
      <c r="B8" s="4" t="n">
        <v>22750</v>
      </c>
      <c r="C8" s="4" t="n">
        <v>0</v>
      </c>
      <c r="D8" s="4" t="n">
        <v>3300</v>
      </c>
      <c r="E8" s="4">
        <f>SUM(B8:D8)</f>
        <v/>
      </c>
      <c r="F8" s="7">
        <f>E8/$E$12</f>
        <v/>
      </c>
    </row>
    <row r="9">
      <c r="A9" t="inlineStr">
        <is>
          <t>Fabrikam Inc</t>
        </is>
      </c>
      <c r="B9" s="4" t="n">
        <v>9800</v>
      </c>
      <c r="C9" s="4" t="n">
        <v>2250</v>
      </c>
      <c r="D9" s="4" t="n">
        <v>0</v>
      </c>
      <c r="E9" s="4" t="n">
        <v>14050</v>
      </c>
      <c r="F9" s="7">
        <f>E9/$E$12</f>
        <v/>
      </c>
    </row>
    <row r="10">
      <c r="A10" t="inlineStr">
        <is>
          <t>Adventure Works</t>
        </is>
      </c>
      <c r="B10" s="4" t="n">
        <v>14100</v>
      </c>
      <c r="C10" s="4" t="n">
        <v>6400</v>
      </c>
      <c r="D10" s="4" t="n">
        <v>1750</v>
      </c>
      <c r="E10" s="4">
        <f>SUM(B10:D10)</f>
        <v/>
      </c>
      <c r="F10" s="7">
        <f>E10/$E$13</f>
        <v/>
      </c>
    </row>
    <row r="11">
      <c r="A11" t="inlineStr">
        <is>
          <t>Tailspin Toys</t>
        </is>
      </c>
      <c r="B11" s="4" t="n">
        <v>7300</v>
      </c>
      <c r="C11" s="4" t="n">
        <v>0</v>
      </c>
      <c r="D11" s="4" t="n">
        <v>0</v>
      </c>
      <c r="E11" s="4">
        <f>SUM(B11:D11)</f>
        <v/>
      </c>
      <c r="F11" s="7">
        <f>E11/$E$12</f>
        <v/>
      </c>
    </row>
    <row r="12">
      <c r="A12" s="5" t="inlineStr">
        <is>
          <t>Total</t>
        </is>
      </c>
      <c r="B12" s="6">
        <f>SUM(B7:B11)</f>
        <v/>
      </c>
      <c r="C12" s="6">
        <f>SUM(C7:C11)</f>
        <v/>
      </c>
      <c r="D12" s="6">
        <f>SUM(D7:D11)</f>
        <v/>
      </c>
      <c r="E12" s="6">
        <f>SUM(E7:E11)</f>
        <v/>
      </c>
    </row>
    <row r="15">
      <c r="A15" t="inlineStr">
        <is>
          <t>Allowance coverage</t>
        </is>
      </c>
      <c r="B15">
        <f>E12/B16</f>
        <v/>
      </c>
    </row>
    <row r="16">
      <c r="A16" t="inlineStr">
        <is>
          <t>Allowance for doubtful accounts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6" customWidth="1" min="5" max="5"/>
    <col width="6" customWidth="1" min="6" max="6"/>
  </cols>
  <sheetData>
    <row r="1">
      <c r="A1" s="1" t="inlineStr">
        <is>
          <t>Fixed assets: additions and depreciation, FY2025</t>
        </is>
      </c>
    </row>
    <row r="2">
      <c r="A2" t="inlineStr">
        <is>
          <t>Purpose: recalculate straight-line depreciation on FY25 additions</t>
        </is>
      </c>
    </row>
    <row r="3">
      <c r="A3" t="inlineStr">
        <is>
          <t>Source: fixed asset register export, 2 Jan 2026</t>
        </is>
      </c>
    </row>
    <row r="4">
      <c r="A4" t="inlineStr">
        <is>
          <t>Prepared by: JS 06/10/2025</t>
        </is>
      </c>
      <c r="C4" t="inlineStr">
        <is>
          <t>Reviewed by:</t>
        </is>
      </c>
    </row>
    <row r="6">
      <c r="A6" s="3" t="inlineStr">
        <is>
          <t>Asset</t>
        </is>
      </c>
      <c r="B6" s="3" t="inlineStr">
        <is>
          <t>Cost</t>
        </is>
      </c>
      <c r="C6" s="3" t="inlineStr">
        <is>
          <t>Useful life (yrs)</t>
        </is>
      </c>
      <c r="D6" s="3" t="inlineStr">
        <is>
          <t>Depreciation</t>
        </is>
      </c>
      <c r="E6" s="3" t="inlineStr">
        <is>
          <t>Net book value</t>
        </is>
      </c>
      <c r="F6" s="3" t="inlineStr">
        <is>
          <t>Tick</t>
        </is>
      </c>
    </row>
    <row r="7">
      <c r="A7" t="inlineStr">
        <is>
          <t>Delivery van</t>
        </is>
      </c>
      <c r="B7" s="4" t="n">
        <v>48000</v>
      </c>
      <c r="C7" t="n">
        <v>6</v>
      </c>
      <c r="D7" s="4">
        <f>B7/C7</f>
        <v/>
      </c>
      <c r="E7" s="4">
        <f>B7-D7</f>
        <v/>
      </c>
      <c r="F7" t="inlineStr">
        <is>
          <t>✓</t>
        </is>
      </c>
    </row>
    <row r="8">
      <c r="A8" t="inlineStr">
        <is>
          <t>Laptops (12)</t>
        </is>
      </c>
      <c r="B8" s="4" t="n">
        <v>21600</v>
      </c>
      <c r="C8" t="n">
        <v>3</v>
      </c>
      <c r="D8" s="4">
        <f>B8/C8</f>
        <v/>
      </c>
      <c r="E8" s="4">
        <f>B8-D8</f>
        <v/>
      </c>
      <c r="F8" t="inlineStr">
        <is>
          <t>✓</t>
        </is>
      </c>
    </row>
    <row r="9">
      <c r="A9" t="inlineStr">
        <is>
          <t>Warehouse racking</t>
        </is>
      </c>
      <c r="B9" s="4" t="n">
        <v>35500</v>
      </c>
      <c r="C9" t="n">
        <v>10</v>
      </c>
      <c r="D9" s="4">
        <f>B9/C9</f>
        <v/>
      </c>
      <c r="E9" s="4">
        <f>B9-D9</f>
        <v/>
      </c>
      <c r="F9" t="inlineStr">
        <is>
          <t>✓</t>
        </is>
      </c>
    </row>
    <row r="10">
      <c r="A10" t="inlineStr">
        <is>
          <t>Forklift</t>
        </is>
      </c>
      <c r="B10" s="4" t="n">
        <v>29900</v>
      </c>
      <c r="C10" t="n">
        <v>8</v>
      </c>
      <c r="D10" s="4">
        <f>B10/C10</f>
        <v/>
      </c>
      <c r="E10" s="4">
        <f>B10-D10</f>
        <v/>
      </c>
      <c r="F10" t="inlineStr">
        <is>
          <t>✓</t>
        </is>
      </c>
    </row>
    <row r="11">
      <c r="A11" s="5" t="inlineStr">
        <is>
          <t>Total</t>
        </is>
      </c>
      <c r="B11" s="6">
        <f>SUM(B7:B10)</f>
        <v/>
      </c>
      <c r="D11" s="6">
        <f>SUM(D7:D10)</f>
        <v/>
      </c>
      <c r="E11" s="6">
        <f>SUM(E7:E10)</f>
        <v/>
      </c>
    </row>
    <row r="13">
      <c r="A13" s="5" t="inlineStr">
        <is>
          <t>Tickmark legend</t>
        </is>
      </c>
    </row>
    <row r="14">
      <c r="A14" t="inlineStr">
        <is>
          <t>✓ = agreed cost to invoice and useful life to policy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0" customWidth="1" min="1" max="1"/>
    <col width="8" customWidth="1" min="2" max="2"/>
    <col width="70" customWidth="1" min="3" max="3"/>
  </cols>
  <sheetData>
    <row r="1">
      <c r="A1" s="3" t="inlineStr">
        <is>
          <t>Sheet</t>
        </is>
      </c>
      <c r="B1" s="3" t="inlineStr">
        <is>
          <t>Cell</t>
        </is>
      </c>
      <c r="C1" s="3" t="inlineStr">
        <is>
          <t>Review note</t>
        </is>
      </c>
    </row>
    <row r="2">
      <c r="A2" t="inlineStr">
        <is>
          <t>FY24 Cash</t>
        </is>
      </c>
      <c r="B2" t="inlineStr">
        <is>
          <t>B10</t>
        </is>
      </c>
      <c r="C2" s="8" t="inlineStr">
        <is>
          <t>Total doesn't foot: adjusted balance excludes the last reconciling item</t>
        </is>
      </c>
    </row>
    <row r="3">
      <c r="A3" t="inlineStr">
        <is>
          <t>FY24 Cash</t>
        </is>
      </c>
      <c r="B3" t="inlineStr">
        <is>
          <t>B13</t>
        </is>
      </c>
      <c r="C3" s="8" t="inlineStr">
        <is>
          <t>Hard-coded FX rate, link to source</t>
        </is>
      </c>
    </row>
    <row r="4">
      <c r="A4" t="inlineStr">
        <is>
          <t>FY24 Cash</t>
        </is>
      </c>
      <c r="B4" t="inlineStr"/>
      <c r="C4" s="8" t="inlineStr">
        <is>
          <t>Please sign off and add the reviewer line</t>
        </is>
      </c>
    </row>
    <row r="5">
      <c r="A5" t="inlineStr">
        <is>
          <t>FY24 AR</t>
        </is>
      </c>
      <c r="B5" t="inlineStr">
        <is>
          <t>E9</t>
        </is>
      </c>
      <c r="C5" s="8" t="inlineStr">
        <is>
          <t>Formula overwritten with a typed number, re-link the total</t>
        </is>
      </c>
    </row>
    <row r="6">
      <c r="A6" t="inlineStr">
        <is>
          <t>FY24 AR</t>
        </is>
      </c>
      <c r="B6" t="inlineStr"/>
      <c r="C6" s="8" t="inlineStr">
        <is>
          <t>Discuss allowance methodology with manager</t>
        </is>
      </c>
    </row>
    <row r="7">
      <c r="A7" t="inlineStr">
        <is>
          <t>FY24 Fixed Assets</t>
        </is>
      </c>
      <c r="B7" t="inlineStr"/>
      <c r="C7" s="8" t="inlineStr">
        <is>
          <t>Where is the tickmark legend?</t>
        </is>
      </c>
    </row>
    <row r="8">
      <c r="A8" t="inlineStr">
        <is>
          <t>FY24 Fixed Assets</t>
        </is>
      </c>
      <c r="B8" t="inlineStr">
        <is>
          <t>D8</t>
        </is>
      </c>
      <c r="C8" s="8" t="inlineStr">
        <is>
          <t>Hard-coded useful life in depreciation formula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2026-10-06T06:52:51Z</dcterms:created>
  <dcterms:modified xmlns:dcterms="http://purl.org/dc/terms/" xmlns:xsi="http://www.w3.org/2001/XMLSchema-instance" xsi:type="dcterms:W3CDTF">2026-10-06T06:52:51Z</dcterms:modified>
</cp:coreProperties>
</file>