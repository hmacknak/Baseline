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FY25 Cash" sheetId="2" state="visible" r:id="rId2"/>
    <sheet xmlns:r="http://schemas.openxmlformats.org/officeDocument/2006/relationships" name="FY25 AR" sheetId="3" state="visible" r:id="rId3"/>
    <sheet xmlns:r="http://schemas.openxmlformats.org/officeDocument/2006/relationships" name="FY25 Fixed Assets" sheetId="4" state="visible" r:id="rId4"/>
    <sheet xmlns:r="http://schemas.openxmlformats.org/officeDocument/2006/relationships" name="PY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164" fontId="3" fillId="0" borderId="1" pivotButton="0" quotePrefix="0" xfId="0"/>
    <xf numFmtId="164" fontId="3" fillId="0" borderId="0" pivotButton="0" quotePrefix="0" xfId="0"/>
    <xf numFmtId="165" fontId="0" fillId="0" borderId="0" pivotButton="0" quotePrefix="0" xfId="0"/>
    <xf numFmtId="165" fontId="3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Baseline Review: demo workbook</t>
        </is>
      </c>
    </row>
    <row r="2">
      <c r="A2" t="inlineStr"/>
    </row>
    <row r="3">
      <c r="A3" t="inlineStr">
        <is>
          <t>1. Open the add-in: Home → Review.</t>
        </is>
      </c>
    </row>
    <row r="4">
      <c r="A4" t="inlineStr">
        <is>
          <t>2. Click the "FY25 Cash" tab. The checklist shows 5 problems.</t>
        </is>
      </c>
    </row>
    <row r="5">
      <c r="A5" t="inlineStr">
        <is>
          <t>3. Expand a red item and click a cell link, e.g. C14, to jump to it.</t>
        </is>
      </c>
    </row>
    <row r="6">
      <c r="A6" t="inlineStr">
        <is>
          <t>4. Open "Last year's notes" in the add-in → Import from "PY Notes" sheet.</t>
        </is>
      </c>
    </row>
    <row r="7">
      <c r="A7" t="inlineStr">
        <is>
          <t xml:space="preserve">   Back on Review, the yellow box shows which of last year's notes are happening again.</t>
        </is>
      </c>
    </row>
    <row r="8">
      <c r="A8" t="inlineStr">
        <is>
          <t xml:space="preserve">   Notes Baseline can't test automatically show as "Check yourself".</t>
        </is>
      </c>
    </row>
    <row r="9">
      <c r="A9" t="inlineStr">
        <is>
          <t>5. Fix something live: change FY25 Cash C14 to =SUM(C10:C13) and watch it turn green.</t>
        </is>
      </c>
    </row>
    <row r="10">
      <c r="A10" t="inlineStr">
        <is>
          <t xml:space="preserve">   Also try C21 → =C19*C20 (links the FX rate), then add a Reviewed by: line in A4,</t>
        </is>
      </c>
    </row>
    <row r="11">
      <c r="A11" t="inlineStr">
        <is>
          <t xml:space="preserve">   a Source: line in A5 and a Tickmark legend: line in A6.</t>
        </is>
      </c>
    </row>
    <row r="12">
      <c r="A12" t="inlineStr">
        <is>
          <t>6. Try "FY25 AR": a typed-over total (F10), an inconsistent formula (G9) and a #DIV/0!.</t>
        </is>
      </c>
    </row>
    <row r="13">
      <c r="A13" t="inlineStr">
        <is>
          <t>7. "FY25 Fixed Assets" is a clean sheet that passes every check.</t>
        </is>
      </c>
    </row>
    <row r="14">
      <c r="A14" t="inlineStr"/>
    </row>
    <row r="15">
      <c r="A15" s="2" t="inlineStr">
        <is>
          <t>The client and all figures are made up. Nothing in this file leaves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4" customWidth="1" min="3" max="3"/>
    <col width="6" customWidth="1" min="4" max="4"/>
    <col width="34" customWidth="1" min="5" max="5"/>
  </cols>
  <sheetData>
    <row r="1">
      <c r="A1" s="1" t="inlineStr">
        <is>
          <t>Prairie Ridge Mining Ltd. · WP 4.1 Cash: bank reconciliation, 31 Dec 2025</t>
        </is>
      </c>
    </row>
    <row r="2">
      <c r="A2" t="inlineStr">
        <is>
          <t>Purpose: reconcile GL cash (acct 1010) to the bank and test the reconciling items</t>
        </is>
      </c>
    </row>
    <row r="3">
      <c r="A3" t="inlineStr">
        <is>
          <t>Prepared by: JS 14 Jan 2026</t>
        </is>
      </c>
    </row>
    <row r="7">
      <c r="A7" s="3" t="inlineStr">
        <is>
          <t>Item</t>
        </is>
      </c>
      <c r="B7" s="3" t="inlineStr">
        <is>
          <t>Ref</t>
        </is>
      </c>
      <c r="C7" s="3" t="inlineStr">
        <is>
          <t>CAD</t>
        </is>
      </c>
      <c r="D7" s="3" t="inlineStr">
        <is>
          <t>Tick</t>
        </is>
      </c>
      <c r="E7" s="3" t="inlineStr">
        <is>
          <t>Comment</t>
        </is>
      </c>
    </row>
    <row r="8">
      <c r="A8" t="inlineStr">
        <is>
          <t>Balance per bank statement</t>
        </is>
      </c>
      <c r="B8" t="inlineStr">
        <is>
          <t>BS-1</t>
        </is>
      </c>
      <c r="C8" s="4" t="n">
        <v>1284610</v>
      </c>
      <c r="D8" s="5" t="inlineStr">
        <is>
          <t>✓</t>
        </is>
      </c>
      <c r="E8" t="inlineStr">
        <is>
          <t>Agreed to statement p.3</t>
        </is>
      </c>
    </row>
    <row r="9">
      <c r="A9" t="inlineStr">
        <is>
          <t>Add: deposits in transit</t>
        </is>
      </c>
      <c r="B9" t="inlineStr">
        <is>
          <t>DIT-1</t>
        </is>
      </c>
      <c r="C9" s="4" t="n">
        <v>86420</v>
      </c>
      <c r="D9" s="5" t="inlineStr">
        <is>
          <t>✓</t>
        </is>
      </c>
      <c r="E9" t="inlineStr">
        <is>
          <t>2 deposits; cleared 2 Jan 2026</t>
        </is>
      </c>
    </row>
    <row r="10">
      <c r="A10" t="inlineStr">
        <is>
          <t>Less: chq 10442 · Pioneer Drilling</t>
        </is>
      </c>
      <c r="B10" t="inlineStr"/>
      <c r="C10" s="4" t="n">
        <v>-41300</v>
      </c>
      <c r="D10" s="5" t="inlineStr">
        <is>
          <t>✓</t>
        </is>
      </c>
      <c r="E10" t="inlineStr">
        <is>
          <t>Outstanding at 31 Dec 2025</t>
        </is>
      </c>
    </row>
    <row r="11">
      <c r="A11" t="inlineStr">
        <is>
          <t>Less: chq 10447 · Cobalt Freight</t>
        </is>
      </c>
      <c r="B11" t="inlineStr"/>
      <c r="C11" s="4" t="n">
        <v>-18950</v>
      </c>
      <c r="D11" s="5" t="inlineStr">
        <is>
          <t>✓</t>
        </is>
      </c>
      <c r="E11" t="inlineStr">
        <is>
          <t>Outstanding at 31 Dec 2025</t>
        </is>
      </c>
    </row>
    <row r="12">
      <c r="A12" t="inlineStr">
        <is>
          <t>Less: chq 10451 · Wascana Safety</t>
        </is>
      </c>
      <c r="B12" t="inlineStr"/>
      <c r="C12" s="4" t="n">
        <v>-22775</v>
      </c>
      <c r="D12" s="5" t="inlineStr">
        <is>
          <t>✓</t>
        </is>
      </c>
      <c r="E12" t="inlineStr">
        <is>
          <t>Outstanding at 31 Dec 2025</t>
        </is>
      </c>
    </row>
    <row r="13">
      <c r="A13" t="inlineStr">
        <is>
          <t>Less: chq 10455 · SaskPower</t>
        </is>
      </c>
      <c r="B13" t="inlineStr"/>
      <c r="C13" s="4" t="n">
        <v>-9420</v>
      </c>
      <c r="D13" s="5" t="inlineStr">
        <is>
          <t>✓</t>
        </is>
      </c>
      <c r="E13" t="inlineStr">
        <is>
          <t>Outstanding at 31 Dec 2025</t>
        </is>
      </c>
    </row>
    <row r="14">
      <c r="A14" s="6" t="inlineStr">
        <is>
          <t>Total outstanding cheques</t>
        </is>
      </c>
      <c r="C14" s="7">
        <f>SUM(C10:C12)</f>
        <v/>
      </c>
    </row>
    <row r="15">
      <c r="A15" t="inlineStr">
        <is>
          <t>Add: bank error (fee charged in error)</t>
        </is>
      </c>
      <c r="B15" t="inlineStr">
        <is>
          <t>BE-1</t>
        </is>
      </c>
      <c r="C15" s="4" t="n">
        <v>3200</v>
      </c>
      <c r="D15" s="5" t="inlineStr">
        <is>
          <t>✓</t>
        </is>
      </c>
      <c r="E15" t="inlineStr">
        <is>
          <t>Reversed by bank 3 Jan 2026</t>
        </is>
      </c>
    </row>
    <row r="16">
      <c r="A16" s="6" t="inlineStr">
        <is>
          <t>Adjusted bank balance</t>
        </is>
      </c>
      <c r="C16" s="7">
        <f>C8+C9+C14+C15</f>
        <v/>
      </c>
    </row>
    <row r="17">
      <c r="A17" t="inlineStr">
        <is>
          <t>Balance per GL (acct 1010)</t>
        </is>
      </c>
      <c r="B17" t="inlineStr">
        <is>
          <t>TB</t>
        </is>
      </c>
      <c r="C17" s="4" t="n">
        <v>1281785</v>
      </c>
      <c r="D17" s="5" t="inlineStr">
        <is>
          <t>✓</t>
        </is>
      </c>
      <c r="E17" t="inlineStr">
        <is>
          <t>Agreed to trial balance</t>
        </is>
      </c>
    </row>
    <row r="18">
      <c r="A18" s="6" t="inlineStr">
        <is>
          <t>Difference</t>
        </is>
      </c>
      <c r="C18" s="7">
        <f>C16-C17</f>
        <v/>
      </c>
      <c r="E18" s="2" t="inlineStr">
        <is>
          <t>Should be nil</t>
        </is>
      </c>
    </row>
    <row r="19">
      <c r="A19" t="inlineStr">
        <is>
          <t>USD sub-account (USD)</t>
        </is>
      </c>
      <c r="C19" s="4" t="n">
        <v>58300</v>
      </c>
      <c r="D19" t="inlineStr">
        <is>
          <t>✓</t>
        </is>
      </c>
    </row>
    <row r="20">
      <c r="A20" t="inlineStr">
        <is>
          <t>FX rate USD→CAD</t>
        </is>
      </c>
      <c r="C20" t="n">
        <v>1.37</v>
      </c>
      <c r="E20" t="inlineStr">
        <is>
          <t>per Bank of Canada 31 Dec close</t>
        </is>
      </c>
    </row>
    <row r="21">
      <c r="A21" t="inlineStr">
        <is>
          <t>USD sub-account (CAD)</t>
        </is>
      </c>
      <c r="C21" s="4">
        <f>C19*1.37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1" customWidth="1" min="7" max="7"/>
  </cols>
  <sheetData>
    <row r="1">
      <c r="A1" s="1" t="inlineStr">
        <is>
          <t>Prairie Ridge Mining Ltd. · WP 5.2 Trade receivables: aging and ECL allowance, 31 Dec 2025</t>
        </is>
      </c>
    </row>
    <row r="2">
      <c r="A2" t="inlineStr">
        <is>
          <t>Purpose: test the aging for accuracy and recalculate the expected credit loss (ECL) allowance</t>
        </is>
      </c>
    </row>
    <row r="3">
      <c r="A3" t="inlineStr">
        <is>
          <t>Source: AR aging report run 3 Jan 2026 (client system); control account GL 1200</t>
        </is>
      </c>
    </row>
    <row r="4">
      <c r="A4" t="inlineStr">
        <is>
          <t>Prepared by: JS 15 Jan 2026</t>
        </is>
      </c>
      <c r="E4" t="inlineStr">
        <is>
          <t>Reviewed by:</t>
        </is>
      </c>
    </row>
    <row r="6">
      <c r="A6" s="3" t="inlineStr">
        <is>
          <t>Customer</t>
        </is>
      </c>
      <c r="B6" s="3" t="inlineStr">
        <is>
          <t>Current</t>
        </is>
      </c>
      <c r="C6" s="3" t="inlineStr">
        <is>
          <t>31-60</t>
        </is>
      </c>
      <c r="D6" s="3" t="inlineStr">
        <is>
          <t>61-90</t>
        </is>
      </c>
      <c r="E6" s="3" t="inlineStr">
        <is>
          <t>90+</t>
        </is>
      </c>
      <c r="F6" s="3" t="inlineStr">
        <is>
          <t>Total</t>
        </is>
      </c>
      <c r="G6" s="3" t="inlineStr">
        <is>
          <t>% of total</t>
        </is>
      </c>
    </row>
    <row r="7">
      <c r="A7" t="inlineStr">
        <is>
          <t>Northern Reach Energy</t>
        </is>
      </c>
      <c r="B7" s="4" t="n">
        <v>212400</v>
      </c>
      <c r="C7" s="4" t="n">
        <v>38200</v>
      </c>
      <c r="D7" s="4" t="n">
        <v>0</v>
      </c>
      <c r="E7" s="4" t="n">
        <v>0</v>
      </c>
      <c r="F7" s="8">
        <f>SUM(B7:E7)</f>
        <v/>
      </c>
      <c r="G7" s="9">
        <f>F7/F$15</f>
        <v/>
      </c>
    </row>
    <row r="8">
      <c r="A8" t="inlineStr">
        <is>
          <t>Boreal Haulage Ltd.</t>
        </is>
      </c>
      <c r="B8" s="4" t="n">
        <v>96750</v>
      </c>
      <c r="C8" s="4" t="n">
        <v>41300</v>
      </c>
      <c r="D8" s="4" t="n">
        <v>12900</v>
      </c>
      <c r="E8" s="4" t="n">
        <v>0</v>
      </c>
      <c r="F8" s="8">
        <f>SUM(B8:E8)</f>
        <v/>
      </c>
      <c r="G8" s="9">
        <f>F8/F$15</f>
        <v/>
      </c>
    </row>
    <row r="9">
      <c r="A9" t="inlineStr">
        <is>
          <t>Lakeshore Fabricators</t>
        </is>
      </c>
      <c r="B9" s="4" t="n">
        <v>54300</v>
      </c>
      <c r="C9" s="4" t="n">
        <v>22100</v>
      </c>
      <c r="D9" s="4" t="n">
        <v>31800</v>
      </c>
      <c r="E9" s="4" t="n">
        <v>48600</v>
      </c>
      <c r="F9" s="8">
        <f>SUM(B9:E9)</f>
        <v/>
      </c>
      <c r="G9" s="9">
        <f>F9/F16</f>
        <v/>
      </c>
    </row>
    <row r="10">
      <c r="A10" t="inlineStr">
        <is>
          <t>Prairie Steel Works</t>
        </is>
      </c>
      <c r="B10" s="4" t="n">
        <v>143900</v>
      </c>
      <c r="C10" s="4" t="n">
        <v>27450</v>
      </c>
      <c r="D10" s="4" t="n">
        <v>0</v>
      </c>
      <c r="E10" s="4" t="n">
        <v>0</v>
      </c>
      <c r="F10" s="8" t="n">
        <v>168850</v>
      </c>
      <c r="G10" s="9">
        <f>F10/F$15</f>
        <v/>
      </c>
    </row>
    <row r="11">
      <c r="A11" t="inlineStr">
        <is>
          <t>Wascana Industrial Supply</t>
        </is>
      </c>
      <c r="B11" s="4" t="n">
        <v>38200</v>
      </c>
      <c r="C11" s="4" t="n">
        <v>9800</v>
      </c>
      <c r="D11" s="4" t="n">
        <v>6350</v>
      </c>
      <c r="E11" s="4" t="n">
        <v>2150</v>
      </c>
      <c r="F11" s="8">
        <f>SUM(B11:E11)</f>
        <v/>
      </c>
      <c r="G11" s="9">
        <f>F11/F$15</f>
        <v/>
      </c>
    </row>
    <row r="12">
      <c r="A12" t="inlineStr">
        <is>
          <t>Meridian Pipe &amp; Fittings</t>
        </is>
      </c>
      <c r="B12" s="4" t="n">
        <v>77600</v>
      </c>
      <c r="C12" s="4" t="n">
        <v>15000</v>
      </c>
      <c r="D12" s="4" t="n">
        <v>0</v>
      </c>
      <c r="E12" s="4" t="n">
        <v>11200</v>
      </c>
      <c r="F12" s="8">
        <f>SUM(B12:E12)</f>
        <v/>
      </c>
      <c r="G12" s="9">
        <f>F12/F$15</f>
        <v/>
      </c>
    </row>
    <row r="13">
      <c r="A13" t="inlineStr">
        <is>
          <t>Tallgrass Environmental</t>
        </is>
      </c>
      <c r="B13" s="4" t="n">
        <v>28950</v>
      </c>
      <c r="C13" s="4" t="n">
        <v>0</v>
      </c>
      <c r="D13" s="4" t="n">
        <v>0</v>
      </c>
      <c r="E13" s="4" t="n">
        <v>0</v>
      </c>
      <c r="F13" s="8">
        <f>SUM(B13:E13)</f>
        <v/>
      </c>
      <c r="G13" s="9">
        <f>F13/F$15</f>
        <v/>
      </c>
    </row>
    <row r="14">
      <c r="A14" t="inlineStr">
        <is>
          <t>Kestrel Drilling Services</t>
        </is>
      </c>
      <c r="B14" s="4" t="n">
        <v>64100</v>
      </c>
      <c r="C14" s="4" t="n">
        <v>18900</v>
      </c>
      <c r="D14" s="4" t="n">
        <v>7700</v>
      </c>
      <c r="E14" s="4" t="n">
        <v>0</v>
      </c>
      <c r="F14" s="8">
        <f>SUM(B14:E14)</f>
        <v/>
      </c>
      <c r="G14" s="9">
        <f>F14/F$15</f>
        <v/>
      </c>
    </row>
    <row r="15">
      <c r="A15" s="6" t="inlineStr">
        <is>
          <t>Total</t>
        </is>
      </c>
      <c r="B15" s="7">
        <f>SUM(B7:B14)</f>
        <v/>
      </c>
      <c r="C15" s="7">
        <f>SUM(C7:C14)</f>
        <v/>
      </c>
      <c r="D15" s="7">
        <f>SUM(D7:D14)</f>
        <v/>
      </c>
      <c r="E15" s="7">
        <f>SUM(E7:E14)</f>
        <v/>
      </c>
      <c r="F15" s="7">
        <f>SUM(F7:F14)</f>
        <v/>
      </c>
      <c r="G15" s="10">
        <f>SUM(G7:G14)</f>
        <v/>
      </c>
    </row>
    <row r="16">
      <c r="A16" s="2" t="inlineStr">
        <is>
          <t>ECL rate (policy matrix)</t>
        </is>
      </c>
      <c r="B16" s="9" t="n">
        <v>0.005</v>
      </c>
      <c r="C16" s="9" t="n">
        <v>0.02</v>
      </c>
      <c r="D16" s="9" t="n">
        <v>0.08</v>
      </c>
      <c r="E16" s="9" t="n">
        <v>0.35</v>
      </c>
    </row>
    <row r="17">
      <c r="A17" t="inlineStr">
        <is>
          <t>Collective ECL by bucket</t>
        </is>
      </c>
      <c r="B17" s="4">
        <f>B15*B16</f>
        <v/>
      </c>
      <c r="C17" s="4">
        <f>C15*C16</f>
        <v/>
      </c>
      <c r="D17" s="4">
        <f>D15*D16</f>
        <v/>
      </c>
      <c r="E17" s="4">
        <f>E15*E16</f>
        <v/>
      </c>
      <c r="F17" s="8">
        <f>SUM(B17:E17)</f>
        <v/>
      </c>
    </row>
    <row r="18">
      <c r="A18" t="inlineStr">
        <is>
          <t>Specific provision · Lakeshore (disputed invoice)</t>
        </is>
      </c>
      <c r="F18" s="4" t="n">
        <v>20000</v>
      </c>
    </row>
    <row r="19">
      <c r="A19" s="6" t="inlineStr">
        <is>
          <t>Required allowance</t>
        </is>
      </c>
      <c r="F19" s="7">
        <f>F17+F18</f>
        <v/>
      </c>
    </row>
    <row r="20">
      <c r="A20" t="inlineStr">
        <is>
          <t>Allowance booked per GL (1205)</t>
        </is>
      </c>
      <c r="F20" s="4" t="n">
        <v>54000</v>
      </c>
    </row>
    <row r="21">
      <c r="A21" s="6" t="inlineStr">
        <is>
          <t>Difference</t>
        </is>
      </c>
      <c r="F21" s="7">
        <f>F19-F20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1" customWidth="1" min="4" max="4"/>
    <col width="9" customWidth="1" min="5" max="5"/>
    <col width="12" customWidth="1" min="6" max="6"/>
    <col width="15" customWidth="1" min="7" max="7"/>
    <col width="6" customWidth="1" min="8" max="8"/>
  </cols>
  <sheetData>
    <row r="1">
      <c r="A1" s="1" t="inlineStr">
        <is>
          <t>Prairie Ridge Mining Ltd. · WP 7.1 PP&amp;E: FY2025 additions and depreciation recalculation</t>
        </is>
      </c>
    </row>
    <row r="2">
      <c r="A2" t="inlineStr">
        <is>
          <t>Purpose: vouch FY2025 additions and recalculate straight-line depreciation</t>
        </is>
      </c>
    </row>
    <row r="3">
      <c r="A3" t="inlineStr">
        <is>
          <t>Source: fixed asset register export 2 Jan 2026; vendor invoices (sample of 5)</t>
        </is>
      </c>
    </row>
    <row r="4">
      <c r="A4" t="inlineStr">
        <is>
          <t>Prepared by: JS 16 Jan 2026</t>
        </is>
      </c>
      <c r="E4" t="inlineStr">
        <is>
          <t>Reviewed by:</t>
        </is>
      </c>
    </row>
    <row r="5">
      <c r="A5" t="inlineStr">
        <is>
          <t>Tickmark legend: ✓ agreed to vendor invoice, approved capex and in-service date</t>
        </is>
      </c>
    </row>
    <row r="6">
      <c r="A6" t="inlineStr">
        <is>
          <t>Months in period (year ended 31 Dec 2025)</t>
        </is>
      </c>
      <c r="B6" t="n">
        <v>12</v>
      </c>
    </row>
    <row r="7">
      <c r="A7" s="3" t="inlineStr">
        <is>
          <t>Asset (FY2025 addition)</t>
        </is>
      </c>
      <c r="B7" s="3" t="inlineStr">
        <is>
          <t>Cost</t>
        </is>
      </c>
      <c r="C7" s="3" t="inlineStr">
        <is>
          <t>Life (yrs)</t>
        </is>
      </c>
      <c r="D7" s="3" t="inlineStr">
        <is>
          <t>In service</t>
        </is>
      </c>
      <c r="E7" s="3" t="inlineStr">
        <is>
          <t>Months</t>
        </is>
      </c>
      <c r="F7" s="3" t="inlineStr">
        <is>
          <t>Depreciation</t>
        </is>
      </c>
      <c r="G7" s="3" t="inlineStr">
        <is>
          <t>Net book value</t>
        </is>
      </c>
      <c r="H7" s="3" t="inlineStr">
        <is>
          <t>Tick</t>
        </is>
      </c>
    </row>
    <row r="8">
      <c r="A8" t="inlineStr">
        <is>
          <t>Haul truck · CAT 777</t>
        </is>
      </c>
      <c r="B8" s="4" t="n">
        <v>1480000</v>
      </c>
      <c r="C8" t="n">
        <v>10</v>
      </c>
      <c r="D8" t="inlineStr">
        <is>
          <t>1 Mar 2025</t>
        </is>
      </c>
      <c r="E8" t="n">
        <v>10</v>
      </c>
      <c r="F8" s="4">
        <f>B8/C8*E8/$B$6</f>
        <v/>
      </c>
      <c r="G8" s="4">
        <f>B8-F8</f>
        <v/>
      </c>
      <c r="H8" s="5" t="inlineStr">
        <is>
          <t>✓</t>
        </is>
      </c>
    </row>
    <row r="9">
      <c r="A9" t="inlineStr">
        <is>
          <t>Crusher liner set</t>
        </is>
      </c>
      <c r="B9" s="4" t="n">
        <v>312500</v>
      </c>
      <c r="C9" t="n">
        <v>4</v>
      </c>
      <c r="D9" t="inlineStr">
        <is>
          <t>1 Jun 2025</t>
        </is>
      </c>
      <c r="E9" t="n">
        <v>7</v>
      </c>
      <c r="F9" s="4">
        <f>B9/C9*E9/$B$6</f>
        <v/>
      </c>
      <c r="G9" s="4">
        <f>B9-F9</f>
        <v/>
      </c>
      <c r="H9" s="5" t="inlineStr">
        <is>
          <t>✓</t>
        </is>
      </c>
    </row>
    <row r="10">
      <c r="A10" t="inlineStr">
        <is>
          <t>Survey drone &amp; GNSS</t>
        </is>
      </c>
      <c r="B10" s="4" t="n">
        <v>48900</v>
      </c>
      <c r="C10" t="n">
        <v>5</v>
      </c>
      <c r="D10" t="inlineStr">
        <is>
          <t>1 Aug 2025</t>
        </is>
      </c>
      <c r="E10" t="n">
        <v>5</v>
      </c>
      <c r="F10" s="4">
        <f>B10/C10*E10/$B$6</f>
        <v/>
      </c>
      <c r="G10" s="4">
        <f>B10-F10</f>
        <v/>
      </c>
      <c r="H10" s="5" t="inlineStr">
        <is>
          <t>✓</t>
        </is>
      </c>
    </row>
    <row r="11">
      <c r="A11" t="inlineStr">
        <is>
          <t>Site office module</t>
        </is>
      </c>
      <c r="B11" s="4" t="n">
        <v>215000</v>
      </c>
      <c r="C11" t="n">
        <v>15</v>
      </c>
      <c r="D11" t="inlineStr">
        <is>
          <t>1 Jul 2025</t>
        </is>
      </c>
      <c r="E11" t="n">
        <v>6</v>
      </c>
      <c r="F11" s="4">
        <f>B11/C11*E11/$B$6</f>
        <v/>
      </c>
      <c r="G11" s="4">
        <f>B11-F11</f>
        <v/>
      </c>
      <c r="H11" s="5" t="inlineStr">
        <is>
          <t>✓</t>
        </is>
      </c>
    </row>
    <row r="12">
      <c r="A12" t="inlineStr">
        <is>
          <t>Water treatment skid</t>
        </is>
      </c>
      <c r="B12" s="4" t="n">
        <v>640000</v>
      </c>
      <c r="C12" t="n">
        <v>12</v>
      </c>
      <c r="D12" t="inlineStr">
        <is>
          <t>1 Oct 2025</t>
        </is>
      </c>
      <c r="E12" t="n">
        <v>3</v>
      </c>
      <c r="F12" s="4">
        <f>B12/C12*E12/$B$6</f>
        <v/>
      </c>
      <c r="G12" s="4">
        <f>B12-F12</f>
        <v/>
      </c>
      <c r="H12" s="5" t="inlineStr">
        <is>
          <t>✓</t>
        </is>
      </c>
    </row>
    <row r="13">
      <c r="A13" s="6" t="inlineStr">
        <is>
          <t>Total additions</t>
        </is>
      </c>
      <c r="B13" s="7">
        <f>SUM(B8:B12)</f>
        <v/>
      </c>
      <c r="F13" s="7">
        <f>SUM(F8:F12)</f>
        <v/>
      </c>
      <c r="G13" s="7">
        <f>SUM(G8:G12)</f>
        <v/>
      </c>
    </row>
    <row r="14">
      <c r="A14" s="3" t="inlineStr">
        <is>
          <t>Cost rollforward</t>
        </is>
      </c>
      <c r="B14" s="3" t="inlineStr">
        <is>
          <t>CAD</t>
        </is>
      </c>
    </row>
    <row r="15">
      <c r="A15" t="inlineStr">
        <is>
          <t>Opening cost per prior-year WP 7.1</t>
        </is>
      </c>
      <c r="B15" s="4" t="n">
        <v>18420000</v>
      </c>
    </row>
    <row r="16">
      <c r="A16" t="inlineStr">
        <is>
          <t>Additions (above)</t>
        </is>
      </c>
      <c r="B16" s="4">
        <f>B13</f>
        <v/>
      </c>
    </row>
    <row r="17">
      <c r="A17" t="inlineStr">
        <is>
          <t>Disposals (WP 7.3)</t>
        </is>
      </c>
      <c r="B17" s="4" t="n">
        <v>-225000</v>
      </c>
    </row>
    <row r="18">
      <c r="A18" s="6" t="inlineStr">
        <is>
          <t>Closing cost</t>
        </is>
      </c>
      <c r="B18" s="7">
        <f>SUM(B15:B17)</f>
        <v/>
      </c>
    </row>
    <row r="19">
      <c r="A19" t="inlineStr">
        <is>
          <t>Closing cost per GL (acct 1500)</t>
        </is>
      </c>
      <c r="B19" s="4" t="n">
        <v>20891400</v>
      </c>
    </row>
    <row r="20">
      <c r="A20" s="6" t="inlineStr">
        <is>
          <t>Difference</t>
        </is>
      </c>
      <c r="B20" s="7">
        <f>B18-B19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70" customWidth="1" min="3" max="3"/>
  </cols>
  <sheetData>
    <row r="1">
      <c r="A1" s="3" t="inlineStr">
        <is>
          <t>Sheet</t>
        </is>
      </c>
      <c r="B1" s="3" t="inlineStr">
        <is>
          <t>Cell</t>
        </is>
      </c>
      <c r="C1" s="3" t="inlineStr">
        <is>
          <t>Review note</t>
        </is>
      </c>
    </row>
    <row r="2">
      <c r="A2" t="inlineStr">
        <is>
          <t>FY24 Cash</t>
        </is>
      </c>
      <c r="B2" t="inlineStr">
        <is>
          <t>C13</t>
        </is>
      </c>
      <c r="C2" s="11" t="inlineStr">
        <is>
          <t>Outstanding cheques total doesn't foot: the last cheque listed is excluded from the sum range</t>
        </is>
      </c>
    </row>
    <row r="3">
      <c r="A3" t="inlineStr">
        <is>
          <t>FY24 Cash</t>
        </is>
      </c>
      <c r="B3" t="inlineStr">
        <is>
          <t>C20</t>
        </is>
      </c>
      <c r="C3" s="11" t="inlineStr">
        <is>
          <t>FX rate hard-coded in the formula; link to the Bank of Canada rate and cite it</t>
        </is>
      </c>
    </row>
    <row r="4">
      <c r="A4" t="inlineStr">
        <is>
          <t>FY24 Cash</t>
        </is>
      </c>
      <c r="B4" t="inlineStr">
        <is>
          <t>A4</t>
        </is>
      </c>
      <c r="C4" s="11" t="inlineStr">
        <is>
          <t>Source not documented: cite the bank statement and its date</t>
        </is>
      </c>
    </row>
    <row r="5">
      <c r="A5" t="inlineStr">
        <is>
          <t>FY24 Cash</t>
        </is>
      </c>
      <c r="B5" t="inlineStr"/>
      <c r="C5" s="11" t="inlineStr">
        <is>
          <t>Please sign off and add the reviewer line</t>
        </is>
      </c>
    </row>
    <row r="6">
      <c r="A6" t="inlineStr">
        <is>
          <t>FY24 Cash</t>
        </is>
      </c>
      <c r="B6" t="inlineStr">
        <is>
          <t>C10</t>
        </is>
      </c>
      <c r="C6" s="11" t="inlineStr">
        <is>
          <t>Cheques outstanding over 90 days: assess whether stale-dated and whether to reverse</t>
        </is>
      </c>
    </row>
    <row r="7">
      <c r="A7" t="inlineStr">
        <is>
          <t>FY24 Cash</t>
        </is>
      </c>
      <c r="B7" t="inlineStr">
        <is>
          <t>C9</t>
        </is>
      </c>
      <c r="C7" s="11" t="inlineStr">
        <is>
          <t>Deposits in transit: agree to January bank activity and document clearing dates</t>
        </is>
      </c>
    </row>
    <row r="8">
      <c r="A8" t="inlineStr">
        <is>
          <t>FY24 AR</t>
        </is>
      </c>
      <c r="B8" t="inlineStr">
        <is>
          <t>F9</t>
        </is>
      </c>
      <c r="C8" s="11" t="inlineStr">
        <is>
          <t>Customer total overwritten with a typed number; re-link the total</t>
        </is>
      </c>
    </row>
    <row r="9">
      <c r="A9" t="inlineStr">
        <is>
          <t>FY24 AR</t>
        </is>
      </c>
      <c r="B9" t="inlineStr">
        <is>
          <t>G8</t>
        </is>
      </c>
      <c r="C9" s="11" t="inlineStr">
        <is>
          <t>% of total formula is inconsistent: one row points at the wrong total</t>
        </is>
      </c>
    </row>
    <row r="10">
      <c r="A10" t="inlineStr">
        <is>
          <t>FY24 AR</t>
        </is>
      </c>
      <c r="B10" t="inlineStr">
        <is>
          <t>E16</t>
        </is>
      </c>
      <c r="C10" s="11" t="inlineStr">
        <is>
          <t>Support the 35% rate for the 90+ bucket against historic write-offs</t>
        </is>
      </c>
    </row>
    <row r="11">
      <c r="A11" t="inlineStr">
        <is>
          <t>FY24 AR</t>
        </is>
      </c>
      <c r="B11" t="inlineStr">
        <is>
          <t>F18</t>
        </is>
      </c>
      <c r="C11" s="11" t="inlineStr">
        <is>
          <t>Lakeshore: obtain management or legal support for the specific provision</t>
        </is>
      </c>
    </row>
    <row r="12">
      <c r="A12" t="inlineStr">
        <is>
          <t>FY24 Fixed Assets</t>
        </is>
      </c>
      <c r="B12" t="inlineStr">
        <is>
          <t>E8</t>
        </is>
      </c>
      <c r="C12" s="11" t="inlineStr">
        <is>
          <t>Useful life hard-coded in the depreciation formula; link to the life column</t>
        </is>
      </c>
    </row>
    <row r="13">
      <c r="A13" t="inlineStr">
        <is>
          <t>FY24 Fixed Assets</t>
        </is>
      </c>
      <c r="B13" t="inlineStr">
        <is>
          <t>A13</t>
        </is>
      </c>
      <c r="C13" s="11" t="inlineStr">
        <is>
          <t>Where is the tickmark legend?</t>
        </is>
      </c>
    </row>
    <row r="14">
      <c r="A14" t="inlineStr">
        <is>
          <t>FY24 Fixed Assets</t>
        </is>
      </c>
      <c r="B14" t="inlineStr">
        <is>
          <t>B8</t>
        </is>
      </c>
      <c r="C14" s="11" t="inlineStr">
        <is>
          <t>Confirm additions meet the capitalization threshold and note who approved the capex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2026-10-06T19:47:06Z</dcterms:created>
  <dcterms:modified xmlns:dcterms="http://purl.org/dc/terms/" xmlns:xsi="http://www.w3.org/2001/XMLSchema-instance" xsi:type="dcterms:W3CDTF">2026-10-06T19:47:06Z</dcterms:modified>
</cp:coreProperties>
</file>