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FY25 Cash" sheetId="2" state="visible" r:id="rId2"/>
    <sheet xmlns:r="http://schemas.openxmlformats.org/officeDocument/2006/relationships" name="FY25 AR" sheetId="3" state="visible" r:id="rId3"/>
    <sheet xmlns:r="http://schemas.openxmlformats.org/officeDocument/2006/relationships" name="FY25 Fixed Assets" sheetId="4" state="visible" r:id="rId4"/>
    <sheet xmlns:r="http://schemas.openxmlformats.org/officeDocument/2006/relationships" name="FY25 SURL" sheetId="5" state="visible" r:id="rId5"/>
    <sheet xmlns:r="http://schemas.openxmlformats.org/officeDocument/2006/relationships" name="FY25 Revenue cut-off" sheetId="6" state="visible" r:id="rId6"/>
    <sheet xmlns:r="http://schemas.openxmlformats.org/officeDocument/2006/relationships" name="FY25 AR confirmations" sheetId="7" state="visible" r:id="rId7"/>
    <sheet xmlns:r="http://schemas.openxmlformats.org/officeDocument/2006/relationships" name="PY Not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"/>
    <numFmt numFmtId="165" formatCode="yyyy-mm-dd"/>
    <numFmt numFmtId="166" formatCode="dd-mmm-yy"/>
    <numFmt numFmtId="167" formatCode="0.0%"/>
  </numFmts>
  <fonts count="4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</font>
  </fonts>
  <fills count="3">
    <fill>
      <patternFill/>
    </fill>
    <fill>
      <patternFill patternType="gray125"/>
    </fill>
    <fill>
      <patternFill patternType="solid">
        <fgColor rgb="00E8F1EE"/>
      </patternFill>
    </fill>
  </fills>
  <borders count="2">
    <border>
      <left/>
      <right/>
      <top/>
      <bottom/>
      <diagonal/>
    </border>
    <border>
      <top style="thin"/>
      <bottom style="double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3" fillId="0" borderId="0" pivotButton="0" quotePrefix="0" xfId="0"/>
    <xf numFmtId="164" fontId="3" fillId="0" borderId="1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Baseline Review: demo workbook</t>
        </is>
      </c>
    </row>
    <row r="2">
      <c r="A2" t="inlineStr"/>
    </row>
    <row r="3">
      <c r="A3" t="inlineStr">
        <is>
          <t>1. Open the add-in: Home → Review.</t>
        </is>
      </c>
    </row>
    <row r="4">
      <c r="A4" t="inlineStr">
        <is>
          <t>2. Settings tab: set year-end to 31 Dec 2025 (or click 'Use it') and threshold to 10000. Save.</t>
        </is>
      </c>
    </row>
    <row r="5">
      <c r="A5" t="inlineStr">
        <is>
          <t>3. Click the "FY25 Cash" tab. Baseline suggests the Bank reconciliation reviewer. Click "Use it".</t>
        </is>
      </c>
    </row>
    <row r="6">
      <c r="A6" t="inlineStr">
        <is>
          <t xml:space="preserve">   Insights show the rec is $1,200 off the GL, a stale cheque, one that cleared before year-end, and more.</t>
        </is>
      </c>
    </row>
    <row r="7">
      <c r="A7" t="inlineStr">
        <is>
          <t>4. Expand a red item and click a cell link, e.g. B10, to jump to it.</t>
        </is>
      </c>
    </row>
    <row r="8">
      <c r="A8" t="inlineStr">
        <is>
          <t>5. PY notes tab → Import from "PY Notes" sheet. The yellow box shows last year's issues happening again.</t>
        </is>
      </c>
    </row>
    <row r="9">
      <c r="A9" t="inlineStr">
        <is>
          <t>6. Fix something live: change FY25 Cash B10 to =SUM(B6:B9). The total and the GL difference both clear.</t>
        </is>
      </c>
    </row>
    <row r="10">
      <c r="A10" t="inlineStr">
        <is>
          <t>7. Open the Catalog tab to see every reviewer. Try "FY25 SURL", "FY25 Revenue cut-off" and</t>
        </is>
      </c>
    </row>
    <row r="11">
      <c r="A11" t="inlineStr">
        <is>
          <t xml:space="preserve">   "FY25 AR confirmations": each gets its own suggestion, checklist and high-risk items.</t>
        </is>
      </c>
    </row>
    <row r="12">
      <c r="A12" t="inlineStr">
        <is>
          <t>8. "FY25 AR" has a typed-over formula, an inconsistent formula and #DIV/0! errors.</t>
        </is>
      </c>
    </row>
    <row r="13">
      <c r="A13" t="inlineStr">
        <is>
          <t>9. "FY25 Fixed Assets" is a clean sheet that passes every check.</t>
        </is>
      </c>
    </row>
    <row r="14">
      <c r="A14" t="inlineStr"/>
    </row>
    <row r="15">
      <c r="A15" s="2" t="inlineStr">
        <is>
          <t>All figures are made up. Nothing in this file leaves Excel.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34" customWidth="1" min="3" max="3"/>
    <col width="12" customWidth="1" min="4" max="4"/>
    <col width="13" customWidth="1" min="5" max="5"/>
    <col width="16" customWidth="1" min="6" max="6"/>
  </cols>
  <sheetData>
    <row r="1">
      <c r="A1" s="1" t="inlineStr">
        <is>
          <t>Cash: bank reconciliation, 31 Dec 2025</t>
        </is>
      </c>
    </row>
    <row r="2">
      <c r="A2" t="inlineStr">
        <is>
          <t>Purpose: reconcile the operating account balance to the bank statement</t>
        </is>
      </c>
    </row>
    <row r="3">
      <c r="A3" t="inlineStr">
        <is>
          <t>Prepared by: JS 06/10/2025</t>
        </is>
      </c>
    </row>
    <row r="5">
      <c r="A5" s="3" t="inlineStr">
        <is>
          <t>Item</t>
        </is>
      </c>
      <c r="B5" s="3" t="inlineStr">
        <is>
          <t>Amount</t>
        </is>
      </c>
      <c r="C5" s="3" t="inlineStr">
        <is>
          <t>Tick</t>
        </is>
      </c>
    </row>
    <row r="6">
      <c r="A6" t="inlineStr">
        <is>
          <t>Balance per bank statement</t>
        </is>
      </c>
      <c r="B6" s="4" t="n">
        <v>482150</v>
      </c>
      <c r="C6" t="inlineStr">
        <is>
          <t>✓</t>
        </is>
      </c>
    </row>
    <row r="7">
      <c r="A7" t="inlineStr">
        <is>
          <t>Deposits in transit</t>
        </is>
      </c>
      <c r="B7" s="4" t="n">
        <v>36400</v>
      </c>
      <c r="C7" t="inlineStr">
        <is>
          <t>✓</t>
        </is>
      </c>
    </row>
    <row r="8">
      <c r="A8" t="inlineStr">
        <is>
          <t>Outstanding cheques</t>
        </is>
      </c>
      <c r="B8" s="4" t="n">
        <v>-51275</v>
      </c>
      <c r="C8" t="inlineStr">
        <is>
          <t>✓</t>
        </is>
      </c>
    </row>
    <row r="9">
      <c r="A9" t="inlineStr">
        <is>
          <t>Bank error correction</t>
        </is>
      </c>
      <c r="B9" s="4" t="n">
        <v>1200</v>
      </c>
    </row>
    <row r="10">
      <c r="A10" s="5" t="inlineStr">
        <is>
          <t>Adjusted bank balance</t>
        </is>
      </c>
      <c r="B10" s="6">
        <f>SUM(B6:B8)</f>
        <v/>
      </c>
    </row>
    <row r="11">
      <c r="A11" t="inlineStr">
        <is>
          <t>Balance per general ledger</t>
        </is>
      </c>
      <c r="B11" s="4" t="n">
        <v>468475</v>
      </c>
    </row>
    <row r="12">
      <c r="A12" t="inlineStr">
        <is>
          <t>USD sub-account (USD)</t>
        </is>
      </c>
      <c r="B12" s="4" t="n">
        <v>25000</v>
      </c>
    </row>
    <row r="13">
      <c r="A13" t="inlineStr">
        <is>
          <t>USD sub-account (CAD)</t>
        </is>
      </c>
      <c r="B13" s="4">
        <f>B12*1.37</f>
        <v/>
      </c>
    </row>
    <row r="14">
      <c r="A14" t="inlineStr">
        <is>
          <t>FX rate USD→CAD</t>
        </is>
      </c>
      <c r="B14" t="n">
        <v>1.37</v>
      </c>
      <c r="C14" t="inlineStr">
        <is>
          <t>per Bank of Canada 31 Dec close</t>
        </is>
      </c>
    </row>
    <row r="17">
      <c r="A17" s="3" t="inlineStr">
        <is>
          <t>Cheque #</t>
        </is>
      </c>
      <c r="B17" s="3" t="inlineStr">
        <is>
          <t>Payee</t>
        </is>
      </c>
      <c r="C17" s="3" t="inlineStr">
        <is>
          <t>Date</t>
        </is>
      </c>
      <c r="D17" s="3" t="inlineStr">
        <is>
          <t>Amount</t>
        </is>
      </c>
      <c r="E17" s="3" t="inlineStr">
        <is>
          <t>Cleared date</t>
        </is>
      </c>
      <c r="F17" s="3" t="inlineStr">
        <is>
          <t>Comment</t>
        </is>
      </c>
    </row>
    <row r="18">
      <c r="A18" t="inlineStr">
        <is>
          <t>1041</t>
        </is>
      </c>
      <c r="B18" t="inlineStr">
        <is>
          <t>Northwind Traders</t>
        </is>
      </c>
      <c r="C18" s="7" t="n">
        <v>45779</v>
      </c>
      <c r="D18" s="4" t="n">
        <v>2400</v>
      </c>
      <c r="F18" t="inlineStr">
        <is>
          <t>Not yet cleared</t>
        </is>
      </c>
    </row>
    <row r="19">
      <c r="A19" t="inlineStr">
        <is>
          <t>1102</t>
        </is>
      </c>
      <c r="B19" t="inlineStr">
        <is>
          <t>Contoso Ltd</t>
        </is>
      </c>
      <c r="C19" s="7" t="n">
        <v>46011</v>
      </c>
      <c r="D19" s="4" t="n">
        <v>31500</v>
      </c>
      <c r="E19" s="7" t="n">
        <v>46020</v>
      </c>
    </row>
    <row r="20">
      <c r="A20" t="inlineStr">
        <is>
          <t>1110</t>
        </is>
      </c>
      <c r="B20" t="inlineStr">
        <is>
          <t>Tailspin Toys</t>
        </is>
      </c>
      <c r="C20" s="7" t="n">
        <v>46021</v>
      </c>
      <c r="D20" s="4" t="n">
        <v>12000</v>
      </c>
    </row>
    <row r="21">
      <c r="A21" t="inlineStr">
        <is>
          <t>1111</t>
        </is>
      </c>
      <c r="B21" t="inlineStr">
        <is>
          <t>Adventure Works</t>
        </is>
      </c>
      <c r="C21" s="7" t="n">
        <v>46022</v>
      </c>
      <c r="D21" s="4" t="n">
        <v>5375</v>
      </c>
      <c r="E21" s="7" t="n">
        <v>46028</v>
      </c>
    </row>
    <row r="22">
      <c r="A22" s="5" t="inlineStr">
        <is>
          <t>Total</t>
        </is>
      </c>
      <c r="D22" s="6">
        <f>SUM(D18:D21)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4" customWidth="1" min="5" max="5"/>
    <col width="12" customWidth="1" min="6" max="6"/>
  </cols>
  <sheetData>
    <row r="1">
      <c r="A1" s="1" t="inlineStr">
        <is>
          <t>Accounts receivable: aging, 31 Dec 2025</t>
        </is>
      </c>
    </row>
    <row r="2">
      <c r="A2" t="inlineStr">
        <is>
          <t>Purpose: test the AR aging and allowance</t>
        </is>
      </c>
    </row>
    <row r="3">
      <c r="A3" t="inlineStr">
        <is>
          <t>Source: AR aging report from the client's system, 3 Jan 2026</t>
        </is>
      </c>
    </row>
    <row r="4">
      <c r="A4" t="inlineStr">
        <is>
          <t>Prepared by: JS 06/10/2025</t>
        </is>
      </c>
      <c r="C4" t="inlineStr">
        <is>
          <t>Reviewed by:</t>
        </is>
      </c>
    </row>
    <row r="6">
      <c r="A6" s="3" t="inlineStr">
        <is>
          <t>Customer</t>
        </is>
      </c>
      <c r="B6" s="3" t="inlineStr">
        <is>
          <t>0-30</t>
        </is>
      </c>
      <c r="C6" s="3" t="inlineStr">
        <is>
          <t>31-60</t>
        </is>
      </c>
      <c r="D6" s="3" t="inlineStr">
        <is>
          <t>61-90</t>
        </is>
      </c>
      <c r="E6" s="3" t="inlineStr">
        <is>
          <t>Total</t>
        </is>
      </c>
      <c r="F6" s="3" t="inlineStr">
        <is>
          <t>% of total</t>
        </is>
      </c>
    </row>
    <row r="7">
      <c r="A7" t="inlineStr">
        <is>
          <t>Northwind Traders</t>
        </is>
      </c>
      <c r="B7" s="4" t="n">
        <v>18200</v>
      </c>
      <c r="C7" s="4" t="n">
        <v>4100</v>
      </c>
      <c r="D7" s="4" t="n">
        <v>900</v>
      </c>
      <c r="E7" s="4">
        <f>SUM(B7:D7)</f>
        <v/>
      </c>
      <c r="F7" s="8">
        <f>E7/$E$12</f>
        <v/>
      </c>
    </row>
    <row r="8">
      <c r="A8" t="inlineStr">
        <is>
          <t>Contoso Ltd</t>
        </is>
      </c>
      <c r="B8" s="4" t="n">
        <v>22750</v>
      </c>
      <c r="C8" s="4" t="n">
        <v>0</v>
      </c>
      <c r="D8" s="4" t="n">
        <v>3300</v>
      </c>
      <c r="E8" s="4">
        <f>SUM(B8:D8)</f>
        <v/>
      </c>
      <c r="F8" s="8">
        <f>E8/$E$12</f>
        <v/>
      </c>
    </row>
    <row r="9">
      <c r="A9" t="inlineStr">
        <is>
          <t>Fabrikam Inc</t>
        </is>
      </c>
      <c r="B9" s="4" t="n">
        <v>9800</v>
      </c>
      <c r="C9" s="4" t="n">
        <v>2250</v>
      </c>
      <c r="D9" s="4" t="n">
        <v>0</v>
      </c>
      <c r="E9" s="4" t="n">
        <v>14050</v>
      </c>
      <c r="F9" s="8">
        <f>E9/$E$12</f>
        <v/>
      </c>
    </row>
    <row r="10">
      <c r="A10" t="inlineStr">
        <is>
          <t>Adventure Works</t>
        </is>
      </c>
      <c r="B10" s="4" t="n">
        <v>14100</v>
      </c>
      <c r="C10" s="4" t="n">
        <v>6400</v>
      </c>
      <c r="D10" s="4" t="n">
        <v>1750</v>
      </c>
      <c r="E10" s="4">
        <f>SUM(B10:D10)</f>
        <v/>
      </c>
      <c r="F10" s="8">
        <f>E10/$E$13</f>
        <v/>
      </c>
    </row>
    <row r="11">
      <c r="A11" t="inlineStr">
        <is>
          <t>Tailspin Toys</t>
        </is>
      </c>
      <c r="B11" s="4" t="n">
        <v>7300</v>
      </c>
      <c r="C11" s="4" t="n">
        <v>0</v>
      </c>
      <c r="D11" s="4" t="n">
        <v>0</v>
      </c>
      <c r="E11" s="4">
        <f>SUM(B11:D11)</f>
        <v/>
      </c>
      <c r="F11" s="8">
        <f>E11/$E$12</f>
        <v/>
      </c>
    </row>
    <row r="12">
      <c r="A12" s="5" t="inlineStr">
        <is>
          <t>Total</t>
        </is>
      </c>
      <c r="B12" s="6">
        <f>SUM(B7:B11)</f>
        <v/>
      </c>
      <c r="C12" s="6">
        <f>SUM(C7:C11)</f>
        <v/>
      </c>
      <c r="D12" s="6">
        <f>SUM(D7:D11)</f>
        <v/>
      </c>
      <c r="E12" s="6">
        <f>SUM(E7:E11)</f>
        <v/>
      </c>
    </row>
    <row r="15">
      <c r="A15" t="inlineStr">
        <is>
          <t>Allowance coverage</t>
        </is>
      </c>
      <c r="B15">
        <f>E12/B16</f>
        <v/>
      </c>
    </row>
    <row r="16">
      <c r="A16" t="inlineStr">
        <is>
          <t>Allowance for doubtful accounts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6" customWidth="1" min="5" max="5"/>
    <col width="6" customWidth="1" min="6" max="6"/>
  </cols>
  <sheetData>
    <row r="1">
      <c r="A1" s="1" t="inlineStr">
        <is>
          <t>Fixed assets: additions and depreciation, FY2025</t>
        </is>
      </c>
    </row>
    <row r="2">
      <c r="A2" t="inlineStr">
        <is>
          <t>Purpose: recalculate straight-line depreciation on FY25 additions</t>
        </is>
      </c>
    </row>
    <row r="3">
      <c r="A3" t="inlineStr">
        <is>
          <t>Source: fixed asset register export, 2 Jan 2026</t>
        </is>
      </c>
    </row>
    <row r="4">
      <c r="A4" t="inlineStr">
        <is>
          <t>Prepared by: JS 06/10/2025</t>
        </is>
      </c>
      <c r="C4" t="inlineStr">
        <is>
          <t>Reviewed by:</t>
        </is>
      </c>
    </row>
    <row r="6">
      <c r="A6" s="3" t="inlineStr">
        <is>
          <t>Asset</t>
        </is>
      </c>
      <c r="B6" s="3" t="inlineStr">
        <is>
          <t>Cost</t>
        </is>
      </c>
      <c r="C6" s="3" t="inlineStr">
        <is>
          <t>Useful life (yrs)</t>
        </is>
      </c>
      <c r="D6" s="3" t="inlineStr">
        <is>
          <t>Depreciation</t>
        </is>
      </c>
      <c r="E6" s="3" t="inlineStr">
        <is>
          <t>Net book value</t>
        </is>
      </c>
      <c r="F6" s="3" t="inlineStr">
        <is>
          <t>Tick</t>
        </is>
      </c>
    </row>
    <row r="7">
      <c r="A7" t="inlineStr">
        <is>
          <t>Delivery van</t>
        </is>
      </c>
      <c r="B7" s="4" t="n">
        <v>48000</v>
      </c>
      <c r="C7" t="n">
        <v>6</v>
      </c>
      <c r="D7" s="4">
        <f>B7/C7</f>
        <v/>
      </c>
      <c r="E7" s="4">
        <f>B7-D7</f>
        <v/>
      </c>
      <c r="F7" t="inlineStr">
        <is>
          <t>✓</t>
        </is>
      </c>
    </row>
    <row r="8">
      <c r="A8" t="inlineStr">
        <is>
          <t>Laptops (12)</t>
        </is>
      </c>
      <c r="B8" s="4" t="n">
        <v>21600</v>
      </c>
      <c r="C8" t="n">
        <v>3</v>
      </c>
      <c r="D8" s="4">
        <f>B8/C8</f>
        <v/>
      </c>
      <c r="E8" s="4">
        <f>B8-D8</f>
        <v/>
      </c>
      <c r="F8" t="inlineStr">
        <is>
          <t>✓</t>
        </is>
      </c>
    </row>
    <row r="9">
      <c r="A9" t="inlineStr">
        <is>
          <t>Warehouse racking</t>
        </is>
      </c>
      <c r="B9" s="4" t="n">
        <v>35500</v>
      </c>
      <c r="C9" t="n">
        <v>10</v>
      </c>
      <c r="D9" s="4">
        <f>B9/C9</f>
        <v/>
      </c>
      <c r="E9" s="4">
        <f>B9-D9</f>
        <v/>
      </c>
      <c r="F9" t="inlineStr">
        <is>
          <t>✓</t>
        </is>
      </c>
    </row>
    <row r="10">
      <c r="A10" t="inlineStr">
        <is>
          <t>Forklift</t>
        </is>
      </c>
      <c r="B10" s="4" t="n">
        <v>29900</v>
      </c>
      <c r="C10" t="n">
        <v>8</v>
      </c>
      <c r="D10" s="4">
        <f>B10/C10</f>
        <v/>
      </c>
      <c r="E10" s="4">
        <f>B10-D10</f>
        <v/>
      </c>
      <c r="F10" t="inlineStr">
        <is>
          <t>✓</t>
        </is>
      </c>
    </row>
    <row r="11">
      <c r="A11" s="5" t="inlineStr">
        <is>
          <t>Total</t>
        </is>
      </c>
      <c r="B11" s="6">
        <f>SUM(B7:B10)</f>
        <v/>
      </c>
      <c r="D11" s="6">
        <f>SUM(D7:D10)</f>
        <v/>
      </c>
      <c r="E11" s="6">
        <f>SUM(E7:E10)</f>
        <v/>
      </c>
    </row>
    <row r="13">
      <c r="A13" s="5" t="inlineStr">
        <is>
          <t>Tickmark legend</t>
        </is>
      </c>
    </row>
    <row r="14">
      <c r="A14" t="inlineStr">
        <is>
          <t>✓ = agreed cost to invoice and useful life to policy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2" customWidth="1" min="5" max="5"/>
    <col width="16" customWidth="1" min="6" max="6"/>
    <col width="20" customWidth="1" min="7" max="7"/>
  </cols>
  <sheetData>
    <row r="1">
      <c r="A1" s="1" t="inlineStr">
        <is>
          <t>Search for unrecorded liabilities, 31 Dec 2025</t>
        </is>
      </c>
    </row>
    <row r="2">
      <c r="A2" t="inlineStr">
        <is>
          <t>Purpose: test January payments and invoices for liabilities that belong in FY25</t>
        </is>
      </c>
    </row>
    <row r="3">
      <c r="A3" t="inlineStr">
        <is>
          <t>Source: January cash disbursements journal and vendor invoices</t>
        </is>
      </c>
    </row>
    <row r="4">
      <c r="A4" t="inlineStr">
        <is>
          <t>Prepared by: JS 06/10/2025</t>
        </is>
      </c>
      <c r="D4" t="inlineStr">
        <is>
          <t>Reviewed by:</t>
        </is>
      </c>
    </row>
    <row r="6">
      <c r="A6" s="3" t="inlineStr">
        <is>
          <t>Vendor</t>
        </is>
      </c>
      <c r="B6" s="3" t="inlineStr">
        <is>
          <t>Invoice date</t>
        </is>
      </c>
      <c r="C6" s="3" t="inlineStr">
        <is>
          <t>Service date</t>
        </is>
      </c>
      <c r="D6" s="3" t="inlineStr">
        <is>
          <t>Payment date</t>
        </is>
      </c>
      <c r="E6" s="3" t="inlineStr">
        <is>
          <t>Amount</t>
        </is>
      </c>
      <c r="F6" s="3" t="inlineStr">
        <is>
          <t>Recorded in AP?</t>
        </is>
      </c>
      <c r="G6" s="3" t="inlineStr">
        <is>
          <t>Conclusion</t>
        </is>
      </c>
    </row>
    <row r="7">
      <c r="A7" t="inlineStr">
        <is>
          <t>Acme Plumbing</t>
        </is>
      </c>
      <c r="B7" s="7" t="n">
        <v>46034</v>
      </c>
      <c r="C7" s="7" t="n">
        <v>46009</v>
      </c>
      <c r="D7" s="7" t="n">
        <v>46042</v>
      </c>
      <c r="E7" s="4" t="n">
        <v>18400</v>
      </c>
      <c r="F7" t="inlineStr">
        <is>
          <t>N</t>
        </is>
      </c>
      <c r="G7" t="inlineStr">
        <is>
          <t>Accrual needed</t>
        </is>
      </c>
    </row>
    <row r="8">
      <c r="A8" t="inlineStr">
        <is>
          <t>Bolt Software</t>
        </is>
      </c>
      <c r="B8" s="7" t="n">
        <v>46027</v>
      </c>
      <c r="C8" s="7" t="n">
        <v>46023</v>
      </c>
      <c r="D8" s="7" t="n">
        <v>46031</v>
      </c>
      <c r="E8" s="4" t="n">
        <v>6000</v>
      </c>
      <c r="F8" t="inlineStr">
        <is>
          <t>N</t>
        </is>
      </c>
      <c r="G8" t="inlineStr">
        <is>
          <t>FY26 expense, OK</t>
        </is>
      </c>
    </row>
    <row r="9">
      <c r="A9" t="inlineStr">
        <is>
          <t>City Power</t>
        </is>
      </c>
      <c r="B9" s="7" t="n">
        <v>46019</v>
      </c>
      <c r="C9" s="7" t="n">
        <v>46006</v>
      </c>
      <c r="D9" s="7" t="n">
        <v>46037</v>
      </c>
      <c r="E9" s="4" t="n">
        <v>3200</v>
      </c>
      <c r="F9" t="inlineStr">
        <is>
          <t>N</t>
        </is>
      </c>
      <c r="G9" t="inlineStr">
        <is>
          <t>Investigate</t>
        </is>
      </c>
    </row>
    <row r="10">
      <c r="A10" t="inlineStr">
        <is>
          <t>Delta Freight</t>
        </is>
      </c>
      <c r="B10" s="7" t="n">
        <v>46030</v>
      </c>
      <c r="D10" s="7" t="n">
        <v>46044</v>
      </c>
      <c r="E10" s="4" t="n">
        <v>12750</v>
      </c>
      <c r="F10" t="inlineStr">
        <is>
          <t>N</t>
        </is>
      </c>
    </row>
    <row r="11">
      <c r="A11" t="inlineStr">
        <is>
          <t>Echo Legal</t>
        </is>
      </c>
      <c r="B11" s="7" t="n">
        <v>46025</v>
      </c>
      <c r="C11" s="7" t="n">
        <v>46001</v>
      </c>
      <c r="D11" s="7" t="n">
        <v>46047</v>
      </c>
      <c r="E11" s="4" t="n">
        <v>9000</v>
      </c>
      <c r="F11" t="inlineStr">
        <is>
          <t>Y</t>
        </is>
      </c>
      <c r="G11" t="inlineStr">
        <is>
          <t>In AP listing</t>
        </is>
      </c>
    </row>
    <row r="12">
      <c r="A12" t="inlineStr">
        <is>
          <t>Fresh Foods Co</t>
        </is>
      </c>
      <c r="B12" s="7" t="n">
        <v>46036</v>
      </c>
      <c r="C12" s="7" t="n">
        <v>46032</v>
      </c>
      <c r="D12" s="7" t="n">
        <v>46050</v>
      </c>
      <c r="E12" s="4" t="n">
        <v>2150</v>
      </c>
      <c r="F12" t="inlineStr">
        <is>
          <t>N</t>
        </is>
      </c>
      <c r="G12" t="inlineStr">
        <is>
          <t>FY26 expense, OK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2" customWidth="1" min="5" max="5"/>
    <col width="18" customWidth="1" min="6" max="6"/>
  </cols>
  <sheetData>
    <row r="1">
      <c r="A1" s="1" t="inlineStr">
        <is>
          <t>Revenue cut-off testing, 31 Dec 2025</t>
        </is>
      </c>
    </row>
    <row r="2">
      <c r="A2" t="inlineStr">
        <is>
          <t>Purpose: test sales either side of year-end are recorded in the right period</t>
        </is>
      </c>
    </row>
    <row r="3">
      <c r="A3" t="inlineStr">
        <is>
          <t>Source: sales journal 20 Dec 2025 to 10 Jan 2026, shipping logs</t>
        </is>
      </c>
    </row>
    <row r="4">
      <c r="A4" t="inlineStr">
        <is>
          <t>Prepared by: JS 06/10/2025</t>
        </is>
      </c>
      <c r="D4" t="inlineStr">
        <is>
          <t>Reviewed by:</t>
        </is>
      </c>
    </row>
    <row r="6">
      <c r="A6" s="3" t="inlineStr">
        <is>
          <t>Invoice #</t>
        </is>
      </c>
      <c r="B6" s="3" t="inlineStr">
        <is>
          <t>Customer</t>
        </is>
      </c>
      <c r="C6" s="3" t="inlineStr">
        <is>
          <t>Invoice date</t>
        </is>
      </c>
      <c r="D6" s="3" t="inlineStr">
        <is>
          <t>Ship date</t>
        </is>
      </c>
      <c r="E6" s="3" t="inlineStr">
        <is>
          <t>Amount</t>
        </is>
      </c>
      <c r="F6" s="3" t="inlineStr">
        <is>
          <t>Conclusion</t>
        </is>
      </c>
    </row>
    <row r="7">
      <c r="A7" t="inlineStr">
        <is>
          <t>INV-880</t>
        </is>
      </c>
      <c r="B7" t="inlineStr">
        <is>
          <t>Adventure Works</t>
        </is>
      </c>
      <c r="C7" s="7" t="n">
        <v>46013</v>
      </c>
      <c r="D7" s="7" t="n">
        <v>46012</v>
      </c>
      <c r="E7" s="4" t="n">
        <v>4000</v>
      </c>
      <c r="F7" t="inlineStr">
        <is>
          <t>OK</t>
        </is>
      </c>
    </row>
    <row r="8">
      <c r="A8" t="inlineStr">
        <is>
          <t>INV-899</t>
        </is>
      </c>
      <c r="B8" t="inlineStr">
        <is>
          <t>Tailspin Toys</t>
        </is>
      </c>
      <c r="C8" s="7" t="n">
        <v>46020</v>
      </c>
      <c r="D8" s="7" t="n">
        <v>46020</v>
      </c>
      <c r="E8" s="4" t="n">
        <v>22000</v>
      </c>
    </row>
    <row r="9">
      <c r="A9" t="inlineStr">
        <is>
          <t>INV-901</t>
        </is>
      </c>
      <c r="B9" t="inlineStr">
        <is>
          <t>Northwind Traders</t>
        </is>
      </c>
      <c r="C9" s="7" t="n">
        <v>46022</v>
      </c>
      <c r="D9" s="7" t="n">
        <v>46025</v>
      </c>
      <c r="E9" s="4" t="n">
        <v>48000</v>
      </c>
      <c r="F9" t="inlineStr">
        <is>
          <t>Shipped Jan</t>
        </is>
      </c>
    </row>
    <row r="10">
      <c r="A10" t="inlineStr">
        <is>
          <t>INV-902</t>
        </is>
      </c>
      <c r="B10" t="inlineStr">
        <is>
          <t>Contoso Ltd</t>
        </is>
      </c>
      <c r="C10" s="7" t="n">
        <v>46024</v>
      </c>
      <c r="D10" s="7" t="n">
        <v>46021</v>
      </c>
      <c r="E10" s="4" t="n">
        <v>15500</v>
      </c>
      <c r="F10" t="inlineStr">
        <is>
          <t>Shipped Dec</t>
        </is>
      </c>
    </row>
    <row r="11">
      <c r="A11" t="inlineStr">
        <is>
          <t>CN-14</t>
        </is>
      </c>
      <c r="B11" t="inlineStr">
        <is>
          <t>Fabrikam Inc</t>
        </is>
      </c>
      <c r="C11" s="7" t="n">
        <v>46028</v>
      </c>
      <c r="D11" s="7" t="n">
        <v>46028</v>
      </c>
      <c r="E11" s="4" t="n">
        <v>-9800</v>
      </c>
      <c r="F11" t="inlineStr">
        <is>
          <t>Credit note</t>
        </is>
      </c>
    </row>
    <row r="12">
      <c r="A12" t="inlineStr">
        <is>
          <t>INV-910</t>
        </is>
      </c>
      <c r="B12" t="inlineStr">
        <is>
          <t>Wide World</t>
        </is>
      </c>
      <c r="C12" s="7" t="n">
        <v>46030</v>
      </c>
      <c r="D12" s="7" t="n">
        <v>46029</v>
      </c>
      <c r="E12" s="4" t="n">
        <v>7250</v>
      </c>
      <c r="F12" t="inlineStr">
        <is>
          <t>OK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0" customWidth="1" min="1" max="1"/>
    <col width="17" customWidth="1" min="2" max="2"/>
    <col width="12" customWidth="1" min="3" max="3"/>
    <col width="17" customWidth="1" min="4" max="4"/>
    <col width="18" customWidth="1" min="5" max="5"/>
    <col width="22" customWidth="1" min="6" max="6"/>
  </cols>
  <sheetData>
    <row r="1">
      <c r="A1" s="1" t="inlineStr">
        <is>
          <t>AR confirmations, 31 Dec 2025</t>
        </is>
      </c>
    </row>
    <row r="2">
      <c r="A2" t="inlineStr">
        <is>
          <t>Purpose: confirm significant customer balances directly with customers</t>
        </is>
      </c>
    </row>
    <row r="3">
      <c r="A3" t="inlineStr">
        <is>
          <t>Source: AR aging at 31 Dec 2025, confirmation responses</t>
        </is>
      </c>
    </row>
    <row r="4">
      <c r="A4" t="inlineStr">
        <is>
          <t>Prepared by: JS 06/10/2025</t>
        </is>
      </c>
      <c r="D4" t="inlineStr">
        <is>
          <t>Reviewed by:</t>
        </is>
      </c>
    </row>
    <row r="6">
      <c r="A6" s="3" t="inlineStr">
        <is>
          <t>Customer</t>
        </is>
      </c>
      <c r="B6" s="3" t="inlineStr">
        <is>
          <t>Balance per ledger</t>
        </is>
      </c>
      <c r="C6" s="3" t="inlineStr">
        <is>
          <t>Date sent</t>
        </is>
      </c>
      <c r="D6" s="3" t="inlineStr">
        <is>
          <t>Confirmed balance</t>
        </is>
      </c>
      <c r="E6" s="3" t="inlineStr">
        <is>
          <t>Explanation</t>
        </is>
      </c>
      <c r="F6" s="3" t="inlineStr">
        <is>
          <t>Alternative procedures</t>
        </is>
      </c>
    </row>
    <row r="7">
      <c r="A7" t="inlineStr">
        <is>
          <t>Northwind Traders</t>
        </is>
      </c>
      <c r="B7" s="4" t="n">
        <v>23200</v>
      </c>
      <c r="C7" s="7" t="n">
        <v>46032</v>
      </c>
      <c r="D7" s="4" t="n">
        <v>23200</v>
      </c>
    </row>
    <row r="8">
      <c r="A8" t="inlineStr">
        <is>
          <t>Contoso Ltd</t>
        </is>
      </c>
      <c r="B8" s="4" t="n">
        <v>26050</v>
      </c>
      <c r="C8" s="7" t="n">
        <v>46032</v>
      </c>
      <c r="D8" s="4" t="n">
        <v>22750</v>
      </c>
    </row>
    <row r="9">
      <c r="A9" t="inlineStr">
        <is>
          <t>Fabrikam Inc</t>
        </is>
      </c>
      <c r="B9" s="4" t="n">
        <v>14050</v>
      </c>
      <c r="C9" s="7" t="n">
        <v>46032</v>
      </c>
    </row>
    <row r="10">
      <c r="A10" t="inlineStr">
        <is>
          <t>Adventure Works</t>
        </is>
      </c>
      <c r="B10" s="4" t="n">
        <v>22250</v>
      </c>
      <c r="C10" s="7" t="n">
        <v>46032</v>
      </c>
      <c r="F10" t="inlineStr">
        <is>
          <t>Agreed to Jan receipts</t>
        </is>
      </c>
    </row>
    <row r="11">
      <c r="A11" t="inlineStr">
        <is>
          <t>Tailspin Toys</t>
        </is>
      </c>
      <c r="B11" s="4" t="n">
        <v>17300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70" customWidth="1" min="3" max="3"/>
  </cols>
  <sheetData>
    <row r="1">
      <c r="A1" s="3" t="inlineStr">
        <is>
          <t>Sheet</t>
        </is>
      </c>
      <c r="B1" s="3" t="inlineStr">
        <is>
          <t>Cell</t>
        </is>
      </c>
      <c r="C1" s="3" t="inlineStr">
        <is>
          <t>Review note</t>
        </is>
      </c>
    </row>
    <row r="2">
      <c r="A2" t="inlineStr">
        <is>
          <t>FY24 Cash</t>
        </is>
      </c>
      <c r="B2" t="inlineStr">
        <is>
          <t>B10</t>
        </is>
      </c>
      <c r="C2" s="9" t="inlineStr">
        <is>
          <t>Total doesn't foot: adjusted balance excludes the last reconciling item</t>
        </is>
      </c>
    </row>
    <row r="3">
      <c r="A3" t="inlineStr">
        <is>
          <t>FY24 Cash</t>
        </is>
      </c>
      <c r="B3" t="inlineStr">
        <is>
          <t>B13</t>
        </is>
      </c>
      <c r="C3" s="9" t="inlineStr">
        <is>
          <t>Hard-coded FX rate, link to source</t>
        </is>
      </c>
    </row>
    <row r="4">
      <c r="A4" t="inlineStr">
        <is>
          <t>FY24 Cash</t>
        </is>
      </c>
      <c r="B4" t="inlineStr"/>
      <c r="C4" s="9" t="inlineStr">
        <is>
          <t>Please sign off and add the reviewer line</t>
        </is>
      </c>
    </row>
    <row r="5">
      <c r="A5" t="inlineStr">
        <is>
          <t>FY24 AR</t>
        </is>
      </c>
      <c r="B5" t="inlineStr">
        <is>
          <t>E9</t>
        </is>
      </c>
      <c r="C5" s="9" t="inlineStr">
        <is>
          <t>Formula overwritten with a typed number, re-link the total</t>
        </is>
      </c>
    </row>
    <row r="6">
      <c r="A6" t="inlineStr">
        <is>
          <t>FY24 AR</t>
        </is>
      </c>
      <c r="B6" t="inlineStr"/>
      <c r="C6" s="9" t="inlineStr">
        <is>
          <t>Discuss allowance methodology with manager</t>
        </is>
      </c>
    </row>
    <row r="7">
      <c r="A7" t="inlineStr">
        <is>
          <t>FY24 Fixed Assets</t>
        </is>
      </c>
      <c r="B7" t="inlineStr"/>
      <c r="C7" s="9" t="inlineStr">
        <is>
          <t>Where is the tickmark legend?</t>
        </is>
      </c>
    </row>
    <row r="8">
      <c r="A8" t="inlineStr">
        <is>
          <t>FY24 Fixed Assets</t>
        </is>
      </c>
      <c r="B8" t="inlineStr">
        <is>
          <t>D8</t>
        </is>
      </c>
      <c r="C8" s="9" t="inlineStr">
        <is>
          <t>Hard-coded useful life in depreciation formula</t>
        </is>
      </c>
    </row>
    <row r="9">
      <c r="A9" t="inlineStr">
        <is>
          <t>FY24 SURL</t>
        </is>
      </c>
      <c r="B9" t="inlineStr"/>
      <c r="C9" s="9" t="inlineStr">
        <is>
          <t>Missing service dates on several items, so you can't conclude on the period</t>
        </is>
      </c>
    </row>
    <row r="10">
      <c r="A10" t="inlineStr">
        <is>
          <t>FY24 Revenue cut-off</t>
        </is>
      </c>
      <c r="B10" t="inlineStr"/>
      <c r="C10" s="9" t="inlineStr">
        <is>
          <t>Dec 31 invoice shipped in January was not identified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2026-10-08T02:19:41Z</dcterms:created>
  <dcterms:modified xmlns:dcterms="http://purl.org/dc/terms/" xmlns:xsi="http://www.w3.org/2001/XMLSchema-instance" xsi:type="dcterms:W3CDTF">2026-10-08T02:19:41Z</dcterms:modified>
</cp:coreProperties>
</file>